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EF08A80C-2320-4629-8D4F-00F11873603D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APP - Controle de Investimento" sheetId="1" r:id="rId1"/>
    <sheet name="Tabela de Apoio" sheetId="2" r:id="rId2"/>
  </sheets>
  <definedNames>
    <definedName name="Aporte_investimento">'APP - Controle de Investimento'!$C$18</definedName>
    <definedName name="Dividendos">'APP - Controle de Investimento'!$C$22</definedName>
    <definedName name="Patrimônio">'APP - Controle de Investimento'!$C$21</definedName>
    <definedName name="QTD_anos">'APP - Controle de Investimento'!$C$19</definedName>
    <definedName name="Rendimento_carteira">'APP - Controle de Investimento'!$E$13</definedName>
    <definedName name="Salario">'APP - Controle de Investimento'!$B$12</definedName>
    <definedName name="Sugestao_invest.">'APP - Controle de Investimento'!$B$14</definedName>
    <definedName name="Taxa_mensal">'APP - Controle de Investimento'!$C$20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0" i="2" l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D42" i="1"/>
  <c r="F42" i="1" s="1"/>
  <c r="D41" i="1"/>
  <c r="F41" i="1" s="1"/>
  <c r="D40" i="1"/>
  <c r="F40" i="1" s="1"/>
  <c r="D39" i="1"/>
  <c r="F39" i="1" s="1"/>
  <c r="D38" i="1"/>
  <c r="F38" i="1" s="1"/>
  <c r="D37" i="1"/>
  <c r="F37" i="1" s="1"/>
  <c r="C30" i="1"/>
  <c r="F30" i="1" s="1"/>
  <c r="C29" i="1"/>
  <c r="F29" i="1" s="1"/>
  <c r="C28" i="1"/>
  <c r="F28" i="1" s="1"/>
  <c r="C27" i="1"/>
  <c r="F27" i="1" s="1"/>
  <c r="C26" i="1"/>
  <c r="F26" i="1" s="1"/>
  <c r="C21" i="1"/>
  <c r="C22" i="1" s="1"/>
  <c r="E14" i="1"/>
  <c r="F43" i="1" l="1"/>
</calcChain>
</file>

<file path=xl/sharedStrings.xml><?xml version="1.0" encoding="utf-8"?>
<sst xmlns="http://schemas.openxmlformats.org/spreadsheetml/2006/main" count="69" uniqueCount="35">
  <si>
    <t>CONFIGURAÇÕES</t>
  </si>
  <si>
    <t xml:space="preserve">Salário </t>
  </si>
  <si>
    <t xml:space="preserve">Rendimento carteira </t>
  </si>
  <si>
    <t xml:space="preserve">INVESTIMENTO MENSAL </t>
  </si>
  <si>
    <t xml:space="preserve">Quanto investir por mês? </t>
  </si>
  <si>
    <t xml:space="preserve">Por quantos anos? </t>
  </si>
  <si>
    <t xml:space="preserve">Taxa de rendimento mensal? </t>
  </si>
  <si>
    <t xml:space="preserve">Patrimônio acumulado? </t>
  </si>
  <si>
    <t xml:space="preserve">Dividendos mensais? </t>
  </si>
  <si>
    <t>CENÁRIOS</t>
  </si>
  <si>
    <t>DIVIDENDOS</t>
  </si>
  <si>
    <t xml:space="preserve">Quanto eu teria em 2 anos? </t>
  </si>
  <si>
    <t>Quanto eu teria em 5 anos?</t>
  </si>
  <si>
    <t>Quanto eu teria em 10 anos?</t>
  </si>
  <si>
    <t xml:space="preserve">Quanto eu teria em 20 anos? </t>
  </si>
  <si>
    <t>Quanto eu teria em 30 anos?</t>
  </si>
  <si>
    <t xml:space="preserve">PERFIL </t>
  </si>
  <si>
    <t>CONSERVADOR</t>
  </si>
  <si>
    <t>VALOR A SER INVESTIDO POR MÊS</t>
  </si>
  <si>
    <t>TIPO DE FII</t>
  </si>
  <si>
    <t>Percentual Sugerido</t>
  </si>
  <si>
    <t>Valores</t>
  </si>
  <si>
    <t xml:space="preserve">PAPEL 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</si>
  <si>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</si>
  <si>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</si>
  <si>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</si>
  <si>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</si>
  <si>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</si>
  <si>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</si>
  <si>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</si>
  <si>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</si>
  <si>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PAPEL</t>
  </si>
  <si>
    <t>MODERADO</t>
  </si>
  <si>
    <t>AGRESSIVO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</si>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</sst>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&quot;R$ &quot;#,##0.00;[Red]&quot;-R$ &quot;#,##0.00"/>
  </numFmts>
  <fonts count="15" x14ac:knownFonts="1">
    <font>
      <sz val="11"/>
      <color theme="1"/>
      <name val="Calibri"/>
      <family val="2"/>
      <charset val="1"/>
    </font>
    <font>
      <b/>
      <sz val="16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6"/>
      <color theme="0" tint="-4.9989318521683403E-2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0070C0"/>
      <name val="Calibri"/>
      <family val="2"/>
      <charset val="1"/>
    </font>
    <font>
      <b/>
      <sz val="11"/>
      <color theme="9" tint="-0.499984740745262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9C570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0" tint="-4.9989318521683403E-2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EB9C"/>
        <bgColor rgb="FFFFCC99"/>
      </patternFill>
    </fill>
    <fill>
      <patternFill patternType="solid">
        <fgColor rgb="FFCC3300"/>
        <bgColor rgb="FF9C5700"/>
      </patternFill>
    </fill>
    <fill>
      <patternFill patternType="solid">
        <fgColor theme="9" tint="-0.249977111117893"/>
        <bgColor rgb="FF416529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416529"/>
        <bgColor rgb="FF38572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0" tint="-0.499984740745262"/>
        <bgColor rgb="FF666699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3" fillId="0" borderId="0"/>
    <xf numFmtId="0" fontId="12" fillId="2" borderId="0"/>
  </cellStyleXfs>
  <cellXfs count="56">
    <xf numFmtId="0" fontId="0" fillId="0" borderId="0" xfId="0"/>
    <xf numFmtId="0" fontId="2" fillId="0" borderId="6" xfId="0" applyFont="1" applyBorder="1" applyAlignment="1">
      <alignment horizontal="left" indent="2"/>
    </xf>
    <xf numFmtId="0" fontId="2" fillId="0" borderId="4" xfId="0" applyFont="1" applyBorder="1" applyAlignment="1">
      <alignment horizontal="left" indent="2"/>
    </xf>
    <xf numFmtId="0" fontId="2" fillId="0" borderId="2" xfId="0" applyFont="1" applyBorder="1" applyAlignment="1">
      <alignment horizontal="left" indent="2"/>
    </xf>
    <xf numFmtId="164" fontId="3" fillId="0" borderId="3" xfId="0" applyNumberFormat="1" applyFont="1" applyBorder="1"/>
    <xf numFmtId="10" fontId="3" fillId="0" borderId="5" xfId="1" applyNumberFormat="1" applyFont="1" applyBorder="1" applyAlignment="1">
      <alignment horizontal="center"/>
    </xf>
    <xf numFmtId="164" fontId="3" fillId="0" borderId="7" xfId="0" applyNumberFormat="1" applyFont="1" applyBorder="1"/>
    <xf numFmtId="0" fontId="6" fillId="5" borderId="4" xfId="0" applyFont="1" applyFill="1" applyBorder="1" applyAlignment="1">
      <alignment horizontal="left" indent="2"/>
    </xf>
    <xf numFmtId="0" fontId="6" fillId="5" borderId="6" xfId="0" applyFont="1" applyFill="1" applyBorder="1" applyAlignment="1">
      <alignment horizontal="left" indent="2"/>
    </xf>
    <xf numFmtId="0" fontId="10" fillId="0" borderId="0" xfId="0" applyFont="1"/>
    <xf numFmtId="165" fontId="5" fillId="0" borderId="11" xfId="0" applyNumberFormat="1" applyFont="1" applyBorder="1"/>
    <xf numFmtId="165" fontId="5" fillId="0" borderId="13" xfId="0" applyNumberFormat="1" applyFont="1" applyBorder="1"/>
    <xf numFmtId="165" fontId="5" fillId="0" borderId="15" xfId="0" applyNumberFormat="1" applyFont="1" applyBorder="1"/>
    <xf numFmtId="0" fontId="11" fillId="2" borderId="0" xfId="2" applyFont="1" applyAlignment="1">
      <alignment horizontal="left"/>
    </xf>
    <xf numFmtId="0" fontId="12" fillId="2" borderId="0" xfId="2"/>
    <xf numFmtId="0" fontId="5" fillId="7" borderId="0" xfId="0" applyFont="1" applyFill="1"/>
    <xf numFmtId="0" fontId="0" fillId="7" borderId="0" xfId="0" applyFill="1"/>
    <xf numFmtId="164" fontId="5" fillId="7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  <xf numFmtId="164" fontId="0" fillId="0" borderId="0" xfId="0" applyNumberFormat="1"/>
    <xf numFmtId="0" fontId="5" fillId="0" borderId="0" xfId="0" applyFont="1"/>
    <xf numFmtId="0" fontId="5" fillId="9" borderId="0" xfId="0" applyFont="1" applyFill="1"/>
    <xf numFmtId="164" fontId="5" fillId="9" borderId="0" xfId="0" applyNumberFormat="1" applyFont="1" applyFill="1"/>
    <xf numFmtId="0" fontId="0" fillId="0" borderId="16" xfId="0" applyBorder="1"/>
    <xf numFmtId="0" fontId="0" fillId="0" borderId="16" xfId="2" applyFont="1" applyFill="1" applyBorder="1"/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0" xfId="2" applyFont="1" applyFill="1"/>
    <xf numFmtId="9" fontId="0" fillId="0" borderId="18" xfId="0" applyNumberFormat="1" applyBorder="1" applyAlignment="1">
      <alignment horizontal="center"/>
    </xf>
    <xf numFmtId="0" fontId="0" fillId="0" borderId="19" xfId="0" applyBorder="1"/>
    <xf numFmtId="9" fontId="0" fillId="0" borderId="20" xfId="0" applyNumberForma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center" vertical="center"/>
    </xf>
    <xf numFmtId="9" fontId="0" fillId="0" borderId="23" xfId="0" applyNumberFormat="1" applyBorder="1" applyAlignment="1">
      <alignment horizontal="center"/>
    </xf>
    <xf numFmtId="0" fontId="14" fillId="10" borderId="24" xfId="0" applyFont="1" applyFill="1" applyBorder="1" applyAlignment="1">
      <alignment horizontal="center" vertical="center"/>
    </xf>
    <xf numFmtId="0" fontId="14" fillId="10" borderId="25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/>
    </xf>
    <xf numFmtId="165" fontId="5" fillId="0" borderId="14" xfId="0" applyNumberFormat="1" applyFont="1" applyBorder="1" applyAlignment="1">
      <alignment horizontal="center"/>
    </xf>
    <xf numFmtId="0" fontId="11" fillId="2" borderId="0" xfId="2" applyFont="1" applyAlignment="1">
      <alignment horizontal="center"/>
    </xf>
    <xf numFmtId="0" fontId="4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0" fontId="5" fillId="0" borderId="5" xfId="0" applyNumberFormat="1" applyFont="1" applyBorder="1" applyAlignment="1">
      <alignment horizontal="center"/>
    </xf>
    <xf numFmtId="165" fontId="7" fillId="5" borderId="5" xfId="0" applyNumberFormat="1" applyFont="1" applyFill="1" applyBorder="1" applyAlignment="1">
      <alignment horizontal="center" vertical="center"/>
    </xf>
    <xf numFmtId="165" fontId="8" fillId="5" borderId="7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indent="2"/>
    </xf>
    <xf numFmtId="0" fontId="2" fillId="0" borderId="4" xfId="0" applyFont="1" applyBorder="1" applyAlignment="1">
      <alignment horizontal="left" indent="2"/>
    </xf>
    <xf numFmtId="0" fontId="2" fillId="0" borderId="6" xfId="0" applyFont="1" applyBorder="1" applyAlignment="1">
      <alignment horizontal="left" indent="2"/>
    </xf>
    <xf numFmtId="0" fontId="4" fillId="4" borderId="1" xfId="0" applyFont="1" applyFill="1" applyBorder="1" applyAlignment="1">
      <alignment horizontal="center" vertical="center"/>
    </xf>
  </cellXfs>
  <cellStyles count="3">
    <cellStyle name="Excel Built-in Neutral" xfId="2" xr:uid="{00000000-0005-0000-0000-000006000000}"/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CC3300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416529"/>
      <rgbColor rgb="FF9C57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'APP - Controle de Investimento'!$B$37</c:f>
              <c:strCache>
                <c:ptCount val="1"/>
                <c:pt idx="0">
                  <c:v>PAPEL 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'APP - Controle de Investimento'!$C$36:$D$36</c:f>
              <c:strCache>
                <c:ptCount val="2"/>
                <c:pt idx="1">
                  <c:v>Percentual Sugerido</c:v>
                </c:pt>
              </c:strCache>
            </c:strRef>
          </c:cat>
          <c:val>
            <c:numRef>
              <c:f>'APP - Controle de Investimento'!$C$37:$D$37</c:f>
              <c:numCache>
                <c:formatCode>0%</c:formatCode>
                <c:ptCount val="2"/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6-4C73-AA27-37684C9F394E}"/>
            </c:ext>
          </c:extLst>
        </c:ser>
        <c:ser>
          <c:idx val="1"/>
          <c:order val="1"/>
          <c:tx>
            <c:strRef>
              <c:f>'APP - Controle de Investimento'!$B$38</c:f>
              <c:strCache>
                <c:ptCount val="1"/>
                <c:pt idx="0">
                  <c:v>TIJOLO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102000"/>
                    <a:tint val="94000"/>
                  </a:schemeClr>
                </a:gs>
                <a:gs pos="50000">
                  <a:schemeClr val="accent2"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'APP - Controle de Investimento'!$C$36:$D$36</c:f>
              <c:strCache>
                <c:ptCount val="2"/>
                <c:pt idx="1">
                  <c:v>Percentual Sugerido</c:v>
                </c:pt>
              </c:strCache>
            </c:strRef>
          </c:cat>
          <c:val>
            <c:numRef>
              <c:f>'APP - Controle de Investimento'!$C$38:$D$38</c:f>
              <c:numCache>
                <c:formatCode>0%</c:formatCode>
                <c:ptCount val="2"/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6-4C73-AA27-37684C9F394E}"/>
            </c:ext>
          </c:extLst>
        </c:ser>
        <c:ser>
          <c:idx val="2"/>
          <c:order val="2"/>
          <c:tx>
            <c:strRef>
              <c:f>'APP - Controle de Investimento'!$B$39</c:f>
              <c:strCache>
                <c:ptCount val="1"/>
                <c:pt idx="0">
                  <c:v>HÍBRIDOS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102000"/>
                    <a:tint val="94000"/>
                  </a:schemeClr>
                </a:gs>
                <a:gs pos="50000">
                  <a:schemeClr val="accent3"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'APP - Controle de Investimento'!$C$36:$D$36</c:f>
              <c:strCache>
                <c:ptCount val="2"/>
                <c:pt idx="1">
                  <c:v>Percentual Sugerido</c:v>
                </c:pt>
              </c:strCache>
            </c:strRef>
          </c:cat>
          <c:val>
            <c:numRef>
              <c:f>'APP - Controle de Investimento'!$C$39:$D$39</c:f>
              <c:numCache>
                <c:formatCode>0%</c:formatCode>
                <c:ptCount val="2"/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56-4C73-AA27-37684C9F394E}"/>
            </c:ext>
          </c:extLst>
        </c:ser>
        <c:ser>
          <c:idx val="3"/>
          <c:order val="3"/>
          <c:tx>
            <c:strRef>
              <c:f>'APP - Controle de Investimento'!$B$40</c:f>
              <c:strCache>
                <c:ptCount val="1"/>
                <c:pt idx="0">
                  <c:v>FOFs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02000"/>
                    <a:tint val="94000"/>
                  </a:schemeClr>
                </a:gs>
                <a:gs pos="50000">
                  <a:schemeClr val="accent4"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'APP - Controle de Investimento'!$C$36:$D$36</c:f>
              <c:strCache>
                <c:ptCount val="2"/>
                <c:pt idx="1">
                  <c:v>Percentual Sugerido</c:v>
                </c:pt>
              </c:strCache>
            </c:strRef>
          </c:cat>
          <c:val>
            <c:numRef>
              <c:f>'APP - Controle de Investimento'!$C$40:$D$40</c:f>
              <c:numCache>
                <c:formatCode>0%</c:formatCode>
                <c:ptCount val="2"/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56-4C73-AA27-37684C9F394E}"/>
            </c:ext>
          </c:extLst>
        </c:ser>
        <c:ser>
          <c:idx val="4"/>
          <c:order val="4"/>
          <c:tx>
            <c:strRef>
              <c:f>'APP - Controle de Investimento'!$B$41</c:f>
              <c:strCache>
                <c:ptCount val="1"/>
                <c:pt idx="0">
                  <c:v>DESENVOLVIMENTO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'APP - Controle de Investimento'!$C$36:$D$36</c:f>
              <c:strCache>
                <c:ptCount val="2"/>
                <c:pt idx="1">
                  <c:v>Percentual Sugerido</c:v>
                </c:pt>
              </c:strCache>
            </c:strRef>
          </c:cat>
          <c:val>
            <c:numRef>
              <c:f>'APP - Controle de Investimento'!$C$41:$D$41</c:f>
              <c:numCache>
                <c:formatCode>0%</c:formatCode>
                <c:ptCount val="2"/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56-4C73-AA27-37684C9F394E}"/>
            </c:ext>
          </c:extLst>
        </c:ser>
        <c:ser>
          <c:idx val="5"/>
          <c:order val="5"/>
          <c:tx>
            <c:strRef>
              <c:f>'APP - Controle de Investimento'!$B$42</c:f>
              <c:strCache>
                <c:ptCount val="1"/>
                <c:pt idx="0">
                  <c:v>HOTELARIAS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102000"/>
                    <a:tint val="94000"/>
                  </a:schemeClr>
                </a:gs>
                <a:gs pos="50000">
                  <a:schemeClr val="accent6"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'APP - Controle de Investimento'!$C$36:$D$36</c:f>
              <c:strCache>
                <c:ptCount val="2"/>
                <c:pt idx="1">
                  <c:v>Percentual Sugerido</c:v>
                </c:pt>
              </c:strCache>
            </c:strRef>
          </c:cat>
          <c:val>
            <c:numRef>
              <c:f>'APP - Controle de Investimento'!$C$42:$D$42</c:f>
              <c:numCache>
                <c:formatCode>0%</c:formatCode>
                <c:ptCount val="2"/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56-4C73-AA27-37684C9F39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90334664"/>
        <c:axId val="590331424"/>
      </c:barChart>
      <c:valAx>
        <c:axId val="59033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34664"/>
        <c:crosses val="autoZero"/>
        <c:crossBetween val="between"/>
      </c:valAx>
      <c:catAx>
        <c:axId val="590334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31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190560</xdr:colOff>
      <xdr:row>1</xdr:row>
      <xdr:rowOff>180900</xdr:rowOff>
    </xdr:from>
    <xdr:to>
      <xdr:col>4</xdr:col>
      <xdr:colOff>676275</xdr:colOff>
      <xdr:row>8</xdr:row>
      <xdr:rowOff>24960</xdr:rowOff>
    </xdr:to>
    <xdr:pic>
      <xdr:nvPicPr>
        <xdr:cNvPr id="2" name="Imagem 3" descr="Top 10 Melhores Sites de Investimentos (Riconnect e mais) | mybes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28077" b="23542"/>
        <a:stretch/>
      </xdr:blipFill>
      <xdr:spPr>
        <a:xfrm>
          <a:off x="190560" y="371400"/>
          <a:ext cx="6038790" cy="1177560"/>
        </a:xfrm>
        <a:prstGeom prst="rect">
          <a:avLst/>
        </a:prstGeom>
        <a:ln w="88900" cap="sq">
          <a:solidFill>
            <a:srgbClr val="FFFFFF"/>
          </a:solidFill>
          <a:round/>
        </a:ln>
      </xdr:spPr>
    </xdr:pic>
    <xdr:clientData/>
  </xdr:twoCellAnchor>
  <xdr:twoCellAnchor>
    <xdr:from>
      <xdr:col>1</xdr:col>
      <xdr:colOff>14287</xdr:colOff>
      <xdr:row>43</xdr:row>
      <xdr:rowOff>176212</xdr:rowOff>
    </xdr:from>
    <xdr:to>
      <xdr:col>3</xdr:col>
      <xdr:colOff>1490662</xdr:colOff>
      <xdr:row>58</xdr:row>
      <xdr:rowOff>61912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F363EBB-E058-7926-9FCD-E3A384BEE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I68"/>
  <sheetViews>
    <sheetView showGridLines="0" tabSelected="1" zoomScaleNormal="100" workbookViewId="0">
      <selection activeCell="F10" sqref="F10"/>
    </sheetView>
  </sheetViews>
  <sheetFormatPr defaultColWidth="0" defaultRowHeight="15" x14ac:dyDescent="0.25"/>
  <cols>
    <col min="1" max="1" width="3" customWidth="1"/>
    <col min="2" max="2" width="31.7109375" customWidth="1"/>
    <col min="3" max="3" width="14.7109375" customWidth="1"/>
    <col min="4" max="4" width="33.85546875" customWidth="1"/>
    <col min="5" max="5" width="10.28515625" customWidth="1"/>
    <col min="6" max="6" width="11.7109375" customWidth="1"/>
    <col min="7" max="7" width="9.140625"/>
    <col min="8" max="8" width="9.140625" hidden="1"/>
    <col min="9" max="9" width="10.7109375" hidden="1" customWidth="1"/>
    <col min="10" max="16384" width="9.140625" hidden="1"/>
  </cols>
  <sheetData>
    <row r="9" spans="2:5" ht="15.75" customHeight="1" x14ac:dyDescent="0.25"/>
    <row r="10" spans="2:5" ht="15" customHeight="1" x14ac:dyDescent="0.25">
      <c r="B10" s="51" t="s">
        <v>0</v>
      </c>
      <c r="C10" s="51"/>
      <c r="D10" s="51"/>
      <c r="E10" s="51"/>
    </row>
    <row r="11" spans="2:5" ht="15.75" customHeight="1" x14ac:dyDescent="0.25">
      <c r="B11" s="51"/>
      <c r="C11" s="51"/>
      <c r="D11" s="51"/>
      <c r="E11" s="51"/>
    </row>
    <row r="12" spans="2:5" ht="15.75" customHeight="1" x14ac:dyDescent="0.25">
      <c r="B12" s="52" t="s">
        <v>1</v>
      </c>
      <c r="C12" s="52"/>
      <c r="D12" s="52"/>
      <c r="E12" s="4">
        <v>5107</v>
      </c>
    </row>
    <row r="13" spans="2:5" ht="15.75" customHeight="1" x14ac:dyDescent="0.25">
      <c r="B13" s="53" t="s">
        <v>2</v>
      </c>
      <c r="C13" s="53"/>
      <c r="D13" s="53"/>
      <c r="E13" s="5">
        <v>8.9999999999999993E-3</v>
      </c>
    </row>
    <row r="14" spans="2:5" ht="16.5" customHeight="1" x14ac:dyDescent="0.25">
      <c r="B14" s="54" t="s">
        <v>34</v>
      </c>
      <c r="C14" s="54"/>
      <c r="D14" s="54"/>
      <c r="E14" s="6">
        <f>E12*30%</f>
        <v>1532.1</v>
      </c>
    </row>
    <row r="15" spans="2:5" ht="15.75" customHeight="1" x14ac:dyDescent="0.25"/>
    <row r="16" spans="2:5" x14ac:dyDescent="0.25">
      <c r="B16" s="55" t="s">
        <v>3</v>
      </c>
      <c r="C16" s="55"/>
      <c r="D16" s="55"/>
      <c r="E16" s="55"/>
    </row>
    <row r="17" spans="1:6" ht="15.75" customHeight="1" x14ac:dyDescent="0.25">
      <c r="B17" s="55"/>
      <c r="C17" s="55"/>
      <c r="D17" s="55"/>
      <c r="E17" s="55"/>
    </row>
    <row r="18" spans="1:6" ht="15.75" customHeight="1" x14ac:dyDescent="0.25">
      <c r="B18" s="3" t="s">
        <v>4</v>
      </c>
      <c r="C18" s="46">
        <v>1532.1</v>
      </c>
      <c r="D18" s="46"/>
      <c r="E18" s="46"/>
    </row>
    <row r="19" spans="1:6" ht="15.75" customHeight="1" x14ac:dyDescent="0.25">
      <c r="B19" s="2" t="s">
        <v>5</v>
      </c>
      <c r="C19" s="47">
        <v>10</v>
      </c>
      <c r="D19" s="47"/>
      <c r="E19" s="47"/>
    </row>
    <row r="20" spans="1:6" ht="15.75" customHeight="1" x14ac:dyDescent="0.25">
      <c r="B20" s="2" t="s">
        <v>6</v>
      </c>
      <c r="C20" s="48">
        <v>1.0800000000000001E-2</v>
      </c>
      <c r="D20" s="48"/>
      <c r="E20" s="48"/>
    </row>
    <row r="21" spans="1:6" ht="15.75" customHeight="1" x14ac:dyDescent="0.25">
      <c r="B21" s="7" t="s">
        <v>7</v>
      </c>
      <c r="C21" s="49">
        <f>FV(Taxa_mensal,QTD_anos*12,Aporte_investimento*-1)</f>
        <v>373001.49046897923</v>
      </c>
      <c r="D21" s="49"/>
      <c r="E21" s="49"/>
    </row>
    <row r="22" spans="1:6" ht="16.5" customHeight="1" x14ac:dyDescent="0.25">
      <c r="B22" s="8" t="s">
        <v>8</v>
      </c>
      <c r="C22" s="50">
        <f>Patrimônio*Rendimento_carteira</f>
        <v>3357.013414220813</v>
      </c>
      <c r="D22" s="50"/>
      <c r="E22" s="50"/>
    </row>
    <row r="23" spans="1:6" ht="15.75" customHeight="1" x14ac:dyDescent="0.25"/>
    <row r="24" spans="1:6" ht="15" customHeight="1" x14ac:dyDescent="0.25">
      <c r="B24" s="43" t="s">
        <v>9</v>
      </c>
      <c r="C24" s="43"/>
      <c r="D24" s="43"/>
      <c r="E24" s="43"/>
      <c r="F24" s="44" t="s">
        <v>10</v>
      </c>
    </row>
    <row r="25" spans="1:6" ht="15" customHeight="1" x14ac:dyDescent="0.25">
      <c r="B25" s="43"/>
      <c r="C25" s="43"/>
      <c r="D25" s="43"/>
      <c r="E25" s="43"/>
      <c r="F25" s="44"/>
    </row>
    <row r="26" spans="1:6" ht="15.75" customHeight="1" x14ac:dyDescent="0.25">
      <c r="A26" s="9">
        <v>2</v>
      </c>
      <c r="B26" s="3" t="s">
        <v>11</v>
      </c>
      <c r="C26" s="45">
        <f>FV($C$20,$A26*12,$C$18*-1)</f>
        <v>41720.40621437705</v>
      </c>
      <c r="D26" s="45"/>
      <c r="E26" s="45"/>
      <c r="F26" s="10">
        <f>C26*Rendimento_carteira</f>
        <v>375.48365592939342</v>
      </c>
    </row>
    <row r="27" spans="1:6" ht="15.75" customHeight="1" x14ac:dyDescent="0.25">
      <c r="A27" s="9">
        <v>5</v>
      </c>
      <c r="B27" s="2" t="s">
        <v>12</v>
      </c>
      <c r="C27" s="40">
        <f>FV($C$20,$A27*12,$C$18*-1)</f>
        <v>128396.13806031983</v>
      </c>
      <c r="D27" s="40"/>
      <c r="E27" s="40"/>
      <c r="F27" s="11">
        <f>C27*Rendimento_carteira</f>
        <v>1155.5652425428784</v>
      </c>
    </row>
    <row r="28" spans="1:6" ht="15.75" customHeight="1" x14ac:dyDescent="0.25">
      <c r="A28" s="9">
        <v>10</v>
      </c>
      <c r="B28" s="2" t="s">
        <v>13</v>
      </c>
      <c r="C28" s="40">
        <f>FV($C$20,$A28*12,$C$18*-1)</f>
        <v>373001.49046897923</v>
      </c>
      <c r="D28" s="40"/>
      <c r="E28" s="40"/>
      <c r="F28" s="11">
        <f>C28*Rendimento_carteira</f>
        <v>3357.013414220813</v>
      </c>
    </row>
    <row r="29" spans="1:6" ht="15.75" customHeight="1" x14ac:dyDescent="0.25">
      <c r="A29" s="9">
        <v>20</v>
      </c>
      <c r="B29" s="2" t="s">
        <v>14</v>
      </c>
      <c r="C29" s="40">
        <f>FV($C$20,$A29*12,$C$18*-1)</f>
        <v>1726751.7626326676</v>
      </c>
      <c r="D29" s="40"/>
      <c r="E29" s="40"/>
      <c r="F29" s="11">
        <f>C29*Rendimento_carteira</f>
        <v>15540.765863694007</v>
      </c>
    </row>
    <row r="30" spans="1:6" ht="16.5" customHeight="1" x14ac:dyDescent="0.25">
      <c r="A30" s="9">
        <v>30</v>
      </c>
      <c r="B30" s="1" t="s">
        <v>15</v>
      </c>
      <c r="C30" s="41">
        <f>FV($C$20,$A30*12,$C$18*-1)</f>
        <v>6639975.5598862944</v>
      </c>
      <c r="D30" s="41"/>
      <c r="E30" s="41"/>
      <c r="F30" s="12">
        <f>C30*Rendimento_carteira</f>
        <v>59759.780038976642</v>
      </c>
    </row>
    <row r="33" spans="2:6" x14ac:dyDescent="0.25">
      <c r="B33" s="13" t="s">
        <v>16</v>
      </c>
      <c r="C33" s="42" t="s">
        <v>33</v>
      </c>
      <c r="D33" s="42"/>
      <c r="E33" s="42"/>
      <c r="F33" s="14"/>
    </row>
    <row r="34" spans="2:6" x14ac:dyDescent="0.25">
      <c r="B34" s="15" t="s">
        <v>18</v>
      </c>
      <c r="C34" s="16"/>
      <c r="D34" s="17">
        <v>1260</v>
      </c>
      <c r="E34" s="16"/>
      <c r="F34" s="16"/>
    </row>
    <row r="36" spans="2:6" x14ac:dyDescent="0.25">
      <c r="B36" s="18" t="s">
        <v>19</v>
      </c>
      <c r="C36" s="18"/>
      <c r="D36" s="18" t="s">
        <v>20</v>
      </c>
      <c r="E36" s="18"/>
      <c r="F36" s="18" t="s">
        <v>21</v>
      </c>
    </row>
    <row r="37" spans="2:6" x14ac:dyDescent="0.25">
      <c r="B37" s="19" t="s">
        <v>22</v>
      </c>
      <c r="D37" s="20">
        <f>VLOOKUP($C$33&amp;"-"&amp;TRIM(B37),'Tabela de Apoio'!$A$3:$D$20,4,FALSE())</f>
        <v>0.5</v>
      </c>
      <c r="F37" s="21">
        <f t="shared" ref="F37:F42" si="0">D37*$D$34</f>
        <v>630</v>
      </c>
    </row>
    <row r="38" spans="2:6" x14ac:dyDescent="0.25">
      <c r="B38" s="19" t="s">
        <v>23</v>
      </c>
      <c r="C38" s="22"/>
      <c r="D38" s="20">
        <f>VLOOKUP($C$33&amp;"-"&amp;TRIM(B38),'Tabela de Apoio'!$A$3:$D$20,4,FALSE())</f>
        <v>0.1</v>
      </c>
      <c r="F38" s="21">
        <f t="shared" si="0"/>
        <v>126</v>
      </c>
    </row>
    <row r="39" spans="2:6" x14ac:dyDescent="0.25">
      <c r="B39" s="19" t="s">
        <v>24</v>
      </c>
      <c r="D39" s="20">
        <f>VLOOKUP($C$33&amp;"-"&amp;TRIM(B39),'Tabela de Apoio'!$A$3:$D$20,4,FALSE())</f>
        <v>0.05</v>
      </c>
      <c r="F39" s="21">
        <f t="shared" si="0"/>
        <v>63</v>
      </c>
    </row>
    <row r="40" spans="2:6" x14ac:dyDescent="0.25">
      <c r="B40" s="19" t="s">
        <v>25</v>
      </c>
      <c r="D40" s="20">
        <f>VLOOKUP($C$33&amp;"-"&amp;TRIM(B40),'Tabela de Apoio'!$A$3:$D$20,4,FALSE())</f>
        <v>0.05</v>
      </c>
      <c r="F40" s="21">
        <f t="shared" si="0"/>
        <v>63</v>
      </c>
    </row>
    <row r="41" spans="2:6" x14ac:dyDescent="0.25">
      <c r="B41" s="19" t="s">
        <v>26</v>
      </c>
      <c r="D41" s="20">
        <f>VLOOKUP($C$33&amp;"-"&amp;TRIM(B41),'Tabela de Apoio'!$A$3:$D$20,4,FALSE())</f>
        <v>0.2</v>
      </c>
      <c r="F41" s="21">
        <f t="shared" si="0"/>
        <v>252</v>
      </c>
    </row>
    <row r="42" spans="2:6" x14ac:dyDescent="0.25">
      <c r="B42" s="19" t="s">
        <v>27</v>
      </c>
      <c r="D42" s="20">
        <f>VLOOKUP($C$33&amp;"-"&amp;TRIM(B42),'Tabela de Apoio'!$A$3:$D$20,4,FALSE())</f>
        <v>0.1</v>
      </c>
      <c r="F42" s="21">
        <f t="shared" si="0"/>
        <v>126</v>
      </c>
    </row>
    <row r="43" spans="2:6" x14ac:dyDescent="0.25">
      <c r="B43" s="23"/>
      <c r="C43" s="23"/>
      <c r="D43" s="23"/>
      <c r="E43" s="23"/>
      <c r="F43" s="24">
        <f>SUM(F37:F42)</f>
        <v>1260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</sheetData>
  <mergeCells count="18">
    <mergeCell ref="B10:E11"/>
    <mergeCell ref="B12:D12"/>
    <mergeCell ref="B13:D13"/>
    <mergeCell ref="B14:D14"/>
    <mergeCell ref="B16:E17"/>
    <mergeCell ref="C18:E18"/>
    <mergeCell ref="C19:E19"/>
    <mergeCell ref="C20:E20"/>
    <mergeCell ref="C21:E21"/>
    <mergeCell ref="C22:E22"/>
    <mergeCell ref="C29:E29"/>
    <mergeCell ref="C30:E30"/>
    <mergeCell ref="C33:E33"/>
    <mergeCell ref="B24:E25"/>
    <mergeCell ref="F24:F25"/>
    <mergeCell ref="C26:E26"/>
    <mergeCell ref="C27:E27"/>
    <mergeCell ref="C28:E28"/>
  </mergeCells>
  <dataValidations count="1">
    <dataValidation type="list" allowBlank="1" showInputMessage="1" showErrorMessage="1" sqref="C33" xr:uid="{00000000-0002-0000-0000-000000000000}">
      <formula1>"CONSERVADOR,MODERADO,AGRESSIVO"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zoomScaleNormal="100" workbookViewId="0">
      <selection activeCell="B13" sqref="B13"/>
    </sheetView>
  </sheetViews>
  <sheetFormatPr defaultColWidth="8.7109375" defaultRowHeight="15" x14ac:dyDescent="0.25"/>
  <cols>
    <col min="1" max="1" width="33.85546875" customWidth="1"/>
    <col min="2" max="2" width="14.7109375" customWidth="1"/>
    <col min="3" max="3" width="19" customWidth="1"/>
  </cols>
  <sheetData>
    <row r="1" spans="1:4" ht="15.75" thickBot="1" x14ac:dyDescent="0.3"/>
    <row r="2" spans="1:4" ht="15.75" thickBot="1" x14ac:dyDescent="0.3">
      <c r="A2" s="37" t="s">
        <v>28</v>
      </c>
      <c r="B2" s="38" t="s">
        <v>29</v>
      </c>
      <c r="C2" s="38" t="s">
        <v>19</v>
      </c>
      <c r="D2" s="39" t="s">
        <v>30</v>
      </c>
    </row>
    <row r="3" spans="1:4" x14ac:dyDescent="0.25">
      <c r="A3" s="28" t="str">
        <f t="shared" ref="A3:A20" si="0">B3&amp;"-"&amp;C3</f>
        <v>CONSERVADOR-PAPEL</v>
      </c>
      <c r="B3" s="29" t="s">
        <v>17</v>
      </c>
      <c r="C3" s="19" t="s">
        <v>31</v>
      </c>
      <c r="D3" s="30">
        <v>0.3</v>
      </c>
    </row>
    <row r="4" spans="1:4" x14ac:dyDescent="0.25">
      <c r="A4" s="28" t="str">
        <f t="shared" si="0"/>
        <v>CONSERVADOR-TIJOLO</v>
      </c>
      <c r="B4" s="29" t="s">
        <v>17</v>
      </c>
      <c r="C4" s="19" t="s">
        <v>23</v>
      </c>
      <c r="D4" s="30">
        <v>0.5</v>
      </c>
    </row>
    <row r="5" spans="1:4" x14ac:dyDescent="0.25">
      <c r="A5" s="28" t="str">
        <f t="shared" si="0"/>
        <v>CONSERVADOR-HÍBRIDOS</v>
      </c>
      <c r="B5" s="29" t="s">
        <v>17</v>
      </c>
      <c r="C5" s="19" t="s">
        <v>24</v>
      </c>
      <c r="D5" s="30">
        <v>0.1</v>
      </c>
    </row>
    <row r="6" spans="1:4" x14ac:dyDescent="0.25">
      <c r="A6" s="28" t="str">
        <f t="shared" si="0"/>
        <v>CONSERVADOR-FOFs</v>
      </c>
      <c r="B6" s="29" t="s">
        <v>17</v>
      </c>
      <c r="C6" s="19" t="s">
        <v>25</v>
      </c>
      <c r="D6" s="30">
        <v>0.1</v>
      </c>
    </row>
    <row r="7" spans="1:4" x14ac:dyDescent="0.25">
      <c r="A7" s="28" t="str">
        <f t="shared" si="0"/>
        <v>CONSERVADOR-DESENVOLVIMENTO</v>
      </c>
      <c r="B7" s="29" t="s">
        <v>17</v>
      </c>
      <c r="C7" s="19" t="s">
        <v>26</v>
      </c>
      <c r="D7" s="30">
        <v>0</v>
      </c>
    </row>
    <row r="8" spans="1:4" ht="15.75" customHeight="1" thickBot="1" x14ac:dyDescent="0.3">
      <c r="A8" s="31" t="str">
        <f t="shared" si="0"/>
        <v>CONSERVADOR-HOTELARIAS</v>
      </c>
      <c r="B8" s="26" t="s">
        <v>17</v>
      </c>
      <c r="C8" s="27" t="s">
        <v>27</v>
      </c>
      <c r="D8" s="32">
        <v>0</v>
      </c>
    </row>
    <row r="9" spans="1:4" ht="15.75" customHeight="1" thickTop="1" x14ac:dyDescent="0.25">
      <c r="A9" s="28" t="str">
        <f t="shared" si="0"/>
        <v>MODERADO-PAPEL</v>
      </c>
      <c r="B9" s="29" t="s">
        <v>32</v>
      </c>
      <c r="C9" s="19" t="s">
        <v>31</v>
      </c>
      <c r="D9" s="30">
        <v>0.32</v>
      </c>
    </row>
    <row r="10" spans="1:4" x14ac:dyDescent="0.25">
      <c r="A10" s="28" t="str">
        <f t="shared" si="0"/>
        <v>MODERADO-TIJOLO</v>
      </c>
      <c r="B10" t="s">
        <v>32</v>
      </c>
      <c r="C10" s="19" t="s">
        <v>23</v>
      </c>
      <c r="D10" s="30">
        <v>0.35</v>
      </c>
    </row>
    <row r="11" spans="1:4" x14ac:dyDescent="0.25">
      <c r="A11" s="28" t="str">
        <f t="shared" si="0"/>
        <v>MODERADO-HÍBRIDOS</v>
      </c>
      <c r="B11" t="s">
        <v>32</v>
      </c>
      <c r="C11" s="19" t="s">
        <v>24</v>
      </c>
      <c r="D11" s="30">
        <v>0.08</v>
      </c>
    </row>
    <row r="12" spans="1:4" x14ac:dyDescent="0.25">
      <c r="A12" s="28" t="str">
        <f t="shared" si="0"/>
        <v>MODERADO-FOFs</v>
      </c>
      <c r="B12" t="s">
        <v>32</v>
      </c>
      <c r="C12" s="19" t="s">
        <v>25</v>
      </c>
      <c r="D12" s="30">
        <v>0.05</v>
      </c>
    </row>
    <row r="13" spans="1:4" x14ac:dyDescent="0.25">
      <c r="A13" s="28" t="str">
        <f t="shared" si="0"/>
        <v>MODERADO-DESENVOLVIMENTO</v>
      </c>
      <c r="B13" t="s">
        <v>32</v>
      </c>
      <c r="C13" s="19" t="s">
        <v>26</v>
      </c>
      <c r="D13" s="30">
        <v>0.1</v>
      </c>
    </row>
    <row r="14" spans="1:4" ht="15.75" customHeight="1" thickBot="1" x14ac:dyDescent="0.3">
      <c r="A14" s="31" t="str">
        <f t="shared" si="0"/>
        <v>MODERADO-HOTELARIAS</v>
      </c>
      <c r="B14" s="25" t="s">
        <v>32</v>
      </c>
      <c r="C14" s="27" t="s">
        <v>27</v>
      </c>
      <c r="D14" s="32">
        <v>0.1</v>
      </c>
    </row>
    <row r="15" spans="1:4" ht="15.75" customHeight="1" thickTop="1" x14ac:dyDescent="0.25">
      <c r="A15" s="28" t="str">
        <f t="shared" si="0"/>
        <v>AGRESSIVO-PAPEL</v>
      </c>
      <c r="B15" t="s">
        <v>33</v>
      </c>
      <c r="C15" s="19" t="s">
        <v>31</v>
      </c>
      <c r="D15" s="30">
        <v>0.5</v>
      </c>
    </row>
    <row r="16" spans="1:4" x14ac:dyDescent="0.25">
      <c r="A16" s="28" t="str">
        <f t="shared" si="0"/>
        <v>AGRESSIVO-TIJOLO</v>
      </c>
      <c r="B16" t="s">
        <v>33</v>
      </c>
      <c r="C16" s="19" t="s">
        <v>23</v>
      </c>
      <c r="D16" s="30">
        <v>0.1</v>
      </c>
    </row>
    <row r="17" spans="1:4" x14ac:dyDescent="0.25">
      <c r="A17" s="28" t="str">
        <f t="shared" si="0"/>
        <v>AGRESSIVO-HÍBRIDOS</v>
      </c>
      <c r="B17" t="s">
        <v>33</v>
      </c>
      <c r="C17" s="19" t="s">
        <v>24</v>
      </c>
      <c r="D17" s="30">
        <v>0.05</v>
      </c>
    </row>
    <row r="18" spans="1:4" x14ac:dyDescent="0.25">
      <c r="A18" s="28" t="str">
        <f t="shared" si="0"/>
        <v>AGRESSIVO-FOFs</v>
      </c>
      <c r="B18" t="s">
        <v>33</v>
      </c>
      <c r="C18" s="19" t="s">
        <v>25</v>
      </c>
      <c r="D18" s="30">
        <v>0.05</v>
      </c>
    </row>
    <row r="19" spans="1:4" x14ac:dyDescent="0.25">
      <c r="A19" s="28" t="str">
        <f t="shared" si="0"/>
        <v>AGRESSIVO-DESENVOLVIMENTO</v>
      </c>
      <c r="B19" t="s">
        <v>33</v>
      </c>
      <c r="C19" s="19" t="s">
        <v>26</v>
      </c>
      <c r="D19" s="30">
        <v>0.2</v>
      </c>
    </row>
    <row r="20" spans="1:4" ht="15.75" thickBot="1" x14ac:dyDescent="0.3">
      <c r="A20" s="33" t="str">
        <f t="shared" si="0"/>
        <v>AGRESSIVO-HOTELARIAS</v>
      </c>
      <c r="B20" s="34" t="s">
        <v>33</v>
      </c>
      <c r="C20" s="35" t="s">
        <v>27</v>
      </c>
      <c r="D20" s="36">
        <v>0.1</v>
      </c>
    </row>
  </sheetData>
  <dataValidations count="1">
    <dataValidation type="list" allowBlank="1" showInputMessage="1" showErrorMessage="1" sqref="B3:B8" xr:uid="{00000000-0002-0000-0100-000000000000}">
      <formula1>"CONSERVADOR,MODERADO,AGRESSIVO"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 - Controle de Investimento</vt:lpstr>
      <vt:lpstr>Tabela de Apoio</vt:lpstr>
      <vt:lpstr>Aporte_investimento</vt:lpstr>
      <vt:lpstr>Dividendos</vt:lpstr>
      <vt:lpstr>Patrimônio</vt:lpstr>
      <vt:lpstr>QTD_anos</vt:lpstr>
      <vt:lpstr>Rendimento_carteira</vt:lpstr>
      <vt:lpstr>Salario</vt:lpstr>
      <vt:lpstr>Sugestao_invest.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Nascimento</dc:creator>
  <dc:description/>
  <cp:lastModifiedBy>Jonathan Nascimento</cp:lastModifiedBy>
  <cp:revision>0</cp:revision>
  <dcterms:created xsi:type="dcterms:W3CDTF">2026-09-20T22:50:38Z</dcterms:created>
  <dcterms:modified xsi:type="dcterms:W3CDTF">2026-09-21T13:19:47Z</dcterms:modified>
  <dc:language>en-US</dc:language>
</cp:coreProperties>
</file>